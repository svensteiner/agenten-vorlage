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hmen" sheetId="1" state="visible" r:id="rId1"/>
    <sheet xmlns:r="http://schemas.openxmlformats.org/officeDocument/2006/relationships" name="Monatsabschluss M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Muster Bau GmbH - Controlling-Annahmen 2026</t>
        </is>
      </c>
    </row>
    <row r="2"/>
    <row r="3">
      <c r="A3" s="2" t="inlineStr">
        <is>
          <t>Parameter</t>
        </is>
      </c>
      <c r="B3" s="2" t="inlineStr">
        <is>
          <t>Wert</t>
        </is>
      </c>
    </row>
    <row r="4">
      <c r="A4" t="inlineStr">
        <is>
          <t>USt-Satz (%)</t>
        </is>
      </c>
      <c r="B4" t="n">
        <v>19</v>
      </c>
    </row>
    <row r="5">
      <c r="A5" t="inlineStr">
        <is>
          <t>Gemeinkostenumlage (%)</t>
        </is>
      </c>
      <c r="B5" s="3" t="n">
        <v>8.737</v>
      </c>
    </row>
    <row r="6">
      <c r="A6" t="inlineStr">
        <is>
          <t>Materialaufschlag (%)</t>
        </is>
      </c>
      <c r="B6" s="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Muster Bau GmbH - Monatsabschluss Mai 2026 (BAB Kostenstelle 100)</t>
        </is>
      </c>
    </row>
    <row r="2"/>
    <row r="3">
      <c r="A3" s="2" t="inlineStr">
        <is>
          <t>Kostenart</t>
        </is>
      </c>
      <c r="B3" s="2" t="inlineStr">
        <is>
          <t>Menge</t>
        </is>
      </c>
      <c r="C3" s="2" t="inlineStr">
        <is>
          <t>Einheit</t>
        </is>
      </c>
      <c r="D3" s="2" t="inlineStr">
        <is>
          <t>Einzelpreis (EUR)</t>
        </is>
      </c>
      <c r="E3" s="2" t="inlineStr">
        <is>
          <t>Summe (EUR)</t>
        </is>
      </c>
    </row>
    <row r="4">
      <c r="A4" t="inlineStr">
        <is>
          <t>Rohbau Beton/Stahl</t>
        </is>
      </c>
      <c r="B4" s="3" t="n">
        <v>401</v>
      </c>
      <c r="C4" t="inlineStr">
        <is>
          <t>m3</t>
        </is>
      </c>
      <c r="D4" s="3" t="n">
        <v>179</v>
      </c>
      <c r="E4">
        <f>B4*D4</f>
        <v/>
      </c>
    </row>
    <row r="5">
      <c r="A5" t="inlineStr">
        <is>
          <t>Bewehrungsstahl</t>
        </is>
      </c>
      <c r="B5" s="3" t="n">
        <v>40</v>
      </c>
      <c r="C5" t="inlineStr">
        <is>
          <t>t</t>
        </is>
      </c>
      <c r="D5" s="3" t="n">
        <v>1222</v>
      </c>
      <c r="E5">
        <f>B5*D5</f>
        <v/>
      </c>
    </row>
    <row r="6">
      <c r="A6" t="inlineStr">
        <is>
          <t>Zimmererarbeiten</t>
        </is>
      </c>
      <c r="B6" s="3" t="n">
        <v>669</v>
      </c>
      <c r="C6" t="inlineStr">
        <is>
          <t>h</t>
        </is>
      </c>
      <c r="D6" s="3" t="n">
        <v>53</v>
      </c>
      <c r="E6">
        <f>B6*D6</f>
        <v/>
      </c>
    </row>
    <row r="7">
      <c r="A7" t="inlineStr">
        <is>
          <t>Elektroinstallation</t>
        </is>
      </c>
      <c r="B7" s="3" t="n">
        <v>335</v>
      </c>
      <c r="C7" t="inlineStr">
        <is>
          <t>h</t>
        </is>
      </c>
      <c r="D7" s="3" t="n">
        <v>56</v>
      </c>
      <c r="E7">
        <f>B7*D7</f>
        <v/>
      </c>
    </row>
    <row r="8">
      <c r="A8" t="inlineStr">
        <is>
          <t>Sanitaer/Heizung</t>
        </is>
      </c>
      <c r="B8" s="3" t="n">
        <v>264</v>
      </c>
      <c r="C8" t="inlineStr">
        <is>
          <t>h</t>
        </is>
      </c>
      <c r="D8" s="3" t="n">
        <v>66</v>
      </c>
      <c r="E8">
        <f>B8*D8</f>
        <v/>
      </c>
    </row>
    <row r="9">
      <c r="A9" t="inlineStr">
        <is>
          <t>Baustelleneinrichtung</t>
        </is>
      </c>
      <c r="B9" s="3" t="n">
        <v>1</v>
      </c>
      <c r="C9" t="inlineStr">
        <is>
          <t>pausch</t>
        </is>
      </c>
      <c r="D9" s="3" t="n">
        <v>45109</v>
      </c>
      <c r="E9">
        <f>B9*D9</f>
        <v/>
      </c>
    </row>
    <row r="10"/>
    <row r="11">
      <c r="A11" s="2" t="inlineStr">
        <is>
          <t>Summe Direktkosten netto</t>
        </is>
      </c>
      <c r="E11">
        <f>SUM(E4:E9)</f>
        <v/>
      </c>
    </row>
    <row r="12">
      <c r="A12" t="inlineStr">
        <is>
          <t>Gemeinkostenumlage</t>
        </is>
      </c>
      <c r="E12">
        <f>E11*Annahmen!B5/100</f>
        <v/>
      </c>
    </row>
    <row r="13">
      <c r="A13" t="inlineStr">
        <is>
          <t>Materialaufschlag</t>
        </is>
      </c>
      <c r="E13">
        <f>E11*Annahmen!B6/100</f>
        <v/>
      </c>
    </row>
    <row r="14">
      <c r="A14" s="2" t="inlineStr">
        <is>
          <t>Netto gesamt</t>
        </is>
      </c>
      <c r="E14">
        <f>E11+E12+E13</f>
        <v/>
      </c>
    </row>
    <row r="15">
      <c r="A15" t="inlineStr">
        <is>
          <t>USt</t>
        </is>
      </c>
      <c r="E15">
        <f>E14*Annahmen!B4/100</f>
        <v/>
      </c>
    </row>
    <row r="16">
      <c r="A16" s="2" t="inlineStr">
        <is>
          <t>Bruttosumme</t>
        </is>
      </c>
      <c r="E16">
        <f>E14+E15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2026-07-09T12:08:47Z</dcterms:created>
  <dcterms:modified xmlns:dcterms="http://purl.org/dc/terms/" xmlns:xsi="http://www.w3.org/2001/XMLSchema-instance" xsi:type="dcterms:W3CDTF">2026-07-09T12:08:54Z</dcterms:modified>
</cp:coreProperties>
</file>